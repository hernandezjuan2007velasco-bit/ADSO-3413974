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02"/>
  <workbookPr defaultThemeVersion="166925"/>
  <xr:revisionPtr revIDLastSave="0" documentId="8_{82982EF5-958A-4FAA-84D1-3F07E2A99442}" xr6:coauthVersionLast="47" xr6:coauthVersionMax="47" xr10:uidLastSave="{00000000-0000-0000-0000-000000000000}"/>
  <bookViews>
    <workbookView xWindow="240" yWindow="105" windowWidth="14805" windowHeight="8010" activeTab="3" xr2:uid="{00000000-000D-0000-FFFF-FFFF00000000}"/>
  </bookViews>
  <sheets>
    <sheet name="datos" sheetId="1" r:id="rId1"/>
    <sheet name="justificacion tabla datos" sheetId="4" r:id="rId2"/>
    <sheet name="tabla de frecuencia y graficas" sheetId="2" r:id="rId3"/>
    <sheet name="estadistica" sheetId="3"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 i="2" l="1"/>
  <c r="C3" i="2"/>
  <c r="B3" i="2"/>
  <c r="C2" i="2"/>
  <c r="B14" i="2"/>
  <c r="B2" i="2"/>
  <c r="B4" i="3"/>
  <c r="B3" i="3"/>
  <c r="B2" i="3"/>
</calcChain>
</file>

<file path=xl/sharedStrings.xml><?xml version="1.0" encoding="utf-8"?>
<sst xmlns="http://schemas.openxmlformats.org/spreadsheetml/2006/main" count="52" uniqueCount="33">
  <si>
    <t>ID</t>
  </si>
  <si>
    <t>Registro ventas</t>
  </si>
  <si>
    <t>Función</t>
  </si>
  <si>
    <t>Alertas stock</t>
  </si>
  <si>
    <t>Reportes</t>
  </si>
  <si>
    <t>Acceso</t>
  </si>
  <si>
    <t>Característica</t>
  </si>
  <si>
    <t>Ventas por día</t>
  </si>
  <si>
    <t>Sí</t>
  </si>
  <si>
    <t>Ventas</t>
  </si>
  <si>
    <t>Diarios</t>
  </si>
  <si>
    <t>Dueño</t>
  </si>
  <si>
    <t>Fácil</t>
  </si>
  <si>
    <t>Inventario</t>
  </si>
  <si>
    <t>Mensual</t>
  </si>
  <si>
    <t>Todos</t>
  </si>
  <si>
    <t>Rápido</t>
  </si>
  <si>
    <t>No</t>
  </si>
  <si>
    <t>Ganancias</t>
  </si>
  <si>
    <t>Seguro</t>
  </si>
  <si>
    <t>opcion</t>
  </si>
  <si>
    <t>ventas</t>
  </si>
  <si>
    <t>%</t>
  </si>
  <si>
    <t>inventario</t>
  </si>
  <si>
    <t>alertas</t>
  </si>
  <si>
    <t>conteo</t>
  </si>
  <si>
    <t>si</t>
  </si>
  <si>
    <t>no</t>
  </si>
  <si>
    <t>Metrica</t>
  </si>
  <si>
    <t>Valor</t>
  </si>
  <si>
    <t>promedio</t>
  </si>
  <si>
    <t>minimo</t>
  </si>
  <si>
    <t>maximo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</si>
</sst>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theme="1"/>
      <name val="Calibri"/>
      <family val="2"/>
      <scheme val="minor"/>
    </font>
    <font>
      <b/>
      <sz val="11"/>
      <color rgb="FF000000"/>
      <name val="Calibri"/>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numFmtId="0" fontId="0" fillId="0" borderId="0" xfId="0"/>
    <xf numFmtId="0" fontId="2" fillId="0" borderId="1" xfId="0" applyFont="1" applyBorder="1"/>
    <xf numFmtId="0" fontId="1" fillId="0" borderId="1" xfId="0" applyFont="1" applyBorder="1"/>
    <xf numFmtId="0" fontId="0" fillId="0" borderId="1" xfId="0" applyBorder="1"/>
    <xf numFmtId="0" fontId="2" fillId="0" borderId="1" xfId="0" applyFont="1" applyBorder="1" applyAlignment="1">
      <alignment horizontal="center"/>
    </xf>
    <xf numFmtId="0" fontId="1" fillId="0" borderId="1" xfId="0" applyFont="1" applyBorder="1" applyAlignment="1">
      <alignment horizont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'tabla de frecuencia y graficas'!$B$1</c:f>
              <c:strCache>
                <c:ptCount val="1"/>
                <c:pt idx="0">
                  <c:v>ventas</c:v>
                </c:pt>
              </c:strCache>
            </c:strRef>
          </c:tx>
          <c:spPr>
            <a:solidFill>
              <a:schemeClr val="accent1"/>
            </a:solidFill>
            <a:ln>
              <a:noFill/>
            </a:ln>
            <a:effectLst/>
          </c:spPr>
          <c:invertIfNegative val="0"/>
          <c:cat>
            <c:strRef>
              <c:f>'tabla de frecuencia y graficas'!$A$2:$A$3</c:f>
              <c:strCache>
                <c:ptCount val="2"/>
                <c:pt idx="0">
                  <c:v>ventas</c:v>
                </c:pt>
                <c:pt idx="1">
                  <c:v>inventario</c:v>
                </c:pt>
              </c:strCache>
            </c:strRef>
          </c:cat>
          <c:val>
            <c:numRef>
              <c:f>'tabla de frecuencia y graficas'!$B$2:$B$3</c:f>
              <c:numCache>
                <c:formatCode>General</c:formatCode>
                <c:ptCount val="2"/>
                <c:pt idx="0">
                  <c:v>3</c:v>
                </c:pt>
                <c:pt idx="1">
                  <c:v>2</c:v>
                </c:pt>
              </c:numCache>
            </c:numRef>
          </c:val>
          <c:extLst>
            <c:ext xmlns:c16="http://schemas.microsoft.com/office/drawing/2014/chart" uri="{C3380CC4-5D6E-409C-BE32-E72D297353CC}">
              <c16:uniqueId val="{00000000-2152-4863-8BF9-B53075E6B580}"/>
            </c:ext>
          </c:extLst>
        </c:ser>
        <c:dLbls>
          <c:showLegendKey val="0"/>
          <c:showVal val="0"/>
          <c:showCatName val="0"/>
          <c:showSerName val="0"/>
          <c:showPercent val="0"/>
          <c:showBubbleSize val="0"/>
        </c:dLbls>
        <c:gapWidth val="219"/>
        <c:overlap val="-27"/>
        <c:axId val="861840904"/>
        <c:axId val="861842952"/>
      </c:barChart>
      <c:catAx>
        <c:axId val="861840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842952"/>
        <c:crosses val="autoZero"/>
        <c:auto val="1"/>
        <c:lblAlgn val="ctr"/>
        <c:lblOffset val="100"/>
        <c:noMultiLvlLbl val="0"/>
      </c:catAx>
      <c:valAx>
        <c:axId val="861842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8409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'tabla de frecuencia y graficas'!$B$13</c:f>
              <c:strCache>
                <c:ptCount val="1"/>
                <c:pt idx="0">
                  <c:v>conteo</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'tabla de frecuencia y graficas'!$A$14:$A$15</c:f>
              <c:strCache>
                <c:ptCount val="2"/>
                <c:pt idx="0">
                  <c:v>si</c:v>
                </c:pt>
                <c:pt idx="1">
                  <c:v>no</c:v>
                </c:pt>
              </c:strCache>
            </c:strRef>
          </c:cat>
          <c:val>
            <c:numRef>
              <c:f>'tabla de frecuencia y graficas'!$B$14:$B$15</c:f>
              <c:numCache>
                <c:formatCode>General</c:formatCode>
                <c:ptCount val="2"/>
                <c:pt idx="0">
                  <c:v>4</c:v>
                </c:pt>
                <c:pt idx="1">
                  <c:v>1</c:v>
                </c:pt>
              </c:numCache>
            </c:numRef>
          </c:val>
          <c:extLst>
            <c:ext xmlns:c16="http://schemas.microsoft.com/office/drawing/2014/chart" uri="{C3380CC4-5D6E-409C-BE32-E72D297353CC}">
              <c16:uniqueId val="{00000000-19D7-409E-BF2B-7C434773CE21}"/>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57150</xdr:colOff>
      <xdr:row>0</xdr:row>
      <xdr:rowOff>0</xdr:rowOff>
    </xdr:from>
    <xdr:to>
      <xdr:col>0</xdr:col>
      <xdr:colOff>2581275</xdr:colOff>
      <xdr:row>7</xdr:row>
      <xdr:rowOff>142875</xdr:rowOff>
    </xdr:to>
    <xdr:sp macro="" textlink="">
      <xdr:nvSpPr>
        <xdr:cNvPr id="2" name="TextBox 1">
          <a:extLst>
            <a:ext uri="{FF2B5EF4-FFF2-40B4-BE49-F238E27FC236}">
              <a16:creationId xmlns:a16="http://schemas.microsoft.com/office/drawing/2014/main" id="{11E06AFF-766D-DBCE-A522-D1EA183CB642}"/>
            </a:ext>
          </a:extLst>
        </xdr:cNvPr>
        <xdr:cNvSpPr txBox="1"/>
      </xdr:nvSpPr>
      <xdr:spPr>
        <a:xfrm>
          <a:off x="57150" y="0"/>
          <a:ext cx="2524125" cy="153352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Aunque algunos participantes seleccionaron “Inventario” como la función más importante, todos hacen parte del proceso de ventas del supermercado. Por esta razón, los datos de ventas diarias se asignan de forma general al comportamiento del negocio y no a una función específica.</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514350</xdr:colOff>
      <xdr:row>0</xdr:row>
      <xdr:rowOff>0</xdr:rowOff>
    </xdr:from>
    <xdr:to>
      <xdr:col>10</xdr:col>
      <xdr:colOff>85725</xdr:colOff>
      <xdr:row>9</xdr:row>
      <xdr:rowOff>0</xdr:rowOff>
    </xdr:to>
    <xdr:graphicFrame macro="">
      <xdr:nvGraphicFramePr>
        <xdr:cNvPr id="2" name="Chart 1">
          <a:extLst>
            <a:ext uri="{FF2B5EF4-FFF2-40B4-BE49-F238E27FC236}">
              <a16:creationId xmlns:a16="http://schemas.microsoft.com/office/drawing/2014/main" id="{1B5F07BE-495C-FA5A-4170-9F95AE773B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295275</xdr:colOff>
      <xdr:row>10</xdr:row>
      <xdr:rowOff>57150</xdr:rowOff>
    </xdr:from>
    <xdr:to>
      <xdr:col>8</xdr:col>
      <xdr:colOff>476250</xdr:colOff>
      <xdr:row>20</xdr:row>
      <xdr:rowOff>161925</xdr:rowOff>
    </xdr:to>
    <xdr:graphicFrame macro="">
      <xdr:nvGraphicFramePr>
        <xdr:cNvPr id="3" name="Chart 2">
          <a:extLst>
            <a:ext uri="{FF2B5EF4-FFF2-40B4-BE49-F238E27FC236}">
              <a16:creationId xmlns:a16="http://schemas.microsoft.com/office/drawing/2014/main" id="{7348F06D-33C7-100C-8EF3-71929146BC4C}"/>
            </a:ext>
            <a:ext uri="{147F2762-F138-4A5C-976F-8EAC2B608ADB}">
              <a16:predDERef xmlns:a16="http://schemas.microsoft.com/office/drawing/2014/main" pred="{1B5F07BE-495C-FA5A-4170-9F95AE773B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
  <sheetViews>
    <sheetView workbookViewId="0">
      <selection activeCell="F12" sqref="F12"/>
    </sheetView>
  </sheetViews>
  <sheetFormatPr defaultRowHeight="15"/>
  <cols>
    <col min="2" max="2" width="14.28515625" customWidth="1"/>
    <col min="3" max="3" width="14.85546875" customWidth="1"/>
    <col min="4" max="4" width="12.140625" customWidth="1"/>
    <col min="7" max="7" width="13" customWidth="1"/>
    <col min="8" max="8" width="13.140625" customWidth="1"/>
  </cols>
  <sheetData>
    <row r="1" spans="1:8">
      <c r="A1" s="5" t="s">
        <v>0</v>
      </c>
      <c r="B1" s="5" t="s">
        <v>1</v>
      </c>
      <c r="C1" s="5" t="s">
        <v>2</v>
      </c>
      <c r="D1" s="5" t="s">
        <v>3</v>
      </c>
      <c r="E1" s="5" t="s">
        <v>4</v>
      </c>
      <c r="F1" s="5" t="s">
        <v>5</v>
      </c>
      <c r="G1" s="5" t="s">
        <v>6</v>
      </c>
      <c r="H1" s="5" t="s">
        <v>7</v>
      </c>
    </row>
    <row r="2" spans="1:8">
      <c r="A2" s="3">
        <v>1</v>
      </c>
      <c r="B2" s="3" t="s">
        <v>8</v>
      </c>
      <c r="C2" s="3" t="s">
        <v>9</v>
      </c>
      <c r="D2" s="3" t="s">
        <v>8</v>
      </c>
      <c r="E2" s="3" t="s">
        <v>10</v>
      </c>
      <c r="F2" s="3" t="s">
        <v>11</v>
      </c>
      <c r="G2" s="3" t="s">
        <v>12</v>
      </c>
      <c r="H2" s="3">
        <v>40</v>
      </c>
    </row>
    <row r="3" spans="1:8">
      <c r="A3" s="3">
        <v>2</v>
      </c>
      <c r="B3" s="3" t="s">
        <v>8</v>
      </c>
      <c r="C3" s="3" t="s">
        <v>13</v>
      </c>
      <c r="D3" s="3" t="s">
        <v>8</v>
      </c>
      <c r="E3" s="3" t="s">
        <v>14</v>
      </c>
      <c r="F3" s="3" t="s">
        <v>15</v>
      </c>
      <c r="G3" s="3" t="s">
        <v>16</v>
      </c>
      <c r="H3" s="3">
        <v>50</v>
      </c>
    </row>
    <row r="4" spans="1:8">
      <c r="A4" s="3">
        <v>3</v>
      </c>
      <c r="B4" s="3" t="s">
        <v>8</v>
      </c>
      <c r="C4" s="3" t="s">
        <v>9</v>
      </c>
      <c r="D4" s="3" t="s">
        <v>8</v>
      </c>
      <c r="E4" s="3" t="s">
        <v>10</v>
      </c>
      <c r="F4" s="3" t="s">
        <v>15</v>
      </c>
      <c r="G4" s="3" t="s">
        <v>12</v>
      </c>
      <c r="H4" s="3">
        <v>60</v>
      </c>
    </row>
    <row r="5" spans="1:8">
      <c r="A5" s="3">
        <v>4</v>
      </c>
      <c r="B5" s="3" t="s">
        <v>8</v>
      </c>
      <c r="C5" s="3" t="s">
        <v>13</v>
      </c>
      <c r="D5" s="3" t="s">
        <v>17</v>
      </c>
      <c r="E5" s="3" t="s">
        <v>18</v>
      </c>
      <c r="F5" s="3" t="s">
        <v>11</v>
      </c>
      <c r="G5" s="3" t="s">
        <v>19</v>
      </c>
      <c r="H5" s="3">
        <v>45</v>
      </c>
    </row>
    <row r="6" spans="1:8">
      <c r="A6" s="3">
        <v>5</v>
      </c>
      <c r="B6" s="3" t="s">
        <v>8</v>
      </c>
      <c r="C6" s="3" t="s">
        <v>9</v>
      </c>
      <c r="D6" s="3" t="s">
        <v>8</v>
      </c>
      <c r="E6" s="3" t="s">
        <v>10</v>
      </c>
      <c r="F6" s="3" t="s">
        <v>15</v>
      </c>
      <c r="G6" s="3" t="s">
        <v>12</v>
      </c>
      <c r="H6" s="3">
        <v>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49E3E-51D8-464C-80B9-5A1BC9D74C9D}">
  <dimension ref="A1"/>
  <sheetViews>
    <sheetView workbookViewId="0">
      <selection activeCell="J15" sqref="J15"/>
    </sheetView>
  </sheetViews>
  <sheetFormatPr defaultRowHeight="15"/>
  <cols>
    <col min="1" max="1" width="38.85546875" customWidth="1"/>
  </cols>
  <sheetData>
    <row r="1" ht="19.5" customHeight="1"/>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FB79C-71F3-4A0A-8181-1FC89529D083}">
  <dimension ref="A1:C15"/>
  <sheetViews>
    <sheetView workbookViewId="0">
      <selection activeCell="L17" sqref="L17"/>
    </sheetView>
  </sheetViews>
  <sheetFormatPr defaultRowHeight="15"/>
  <cols>
    <col min="1" max="1" width="10.28515625" customWidth="1"/>
  </cols>
  <sheetData>
    <row r="1" spans="1:3">
      <c r="A1" s="4" t="s">
        <v>20</v>
      </c>
      <c r="B1" s="4" t="s">
        <v>21</v>
      </c>
      <c r="C1" s="4" t="s">
        <v>22</v>
      </c>
    </row>
    <row r="2" spans="1:3">
      <c r="A2" s="3" t="s">
        <v>21</v>
      </c>
      <c r="B2" s="3">
        <f>COUNTIF(datos!C:C,"Ventas")</f>
        <v>3</v>
      </c>
      <c r="C2" s="3">
        <f>B2/SUM(B2:B3)*100</f>
        <v>60</v>
      </c>
    </row>
    <row r="3" spans="1:3">
      <c r="A3" s="3" t="s">
        <v>23</v>
      </c>
      <c r="B3" s="3">
        <f>COUNTIF(datos!C:C,"inventario")</f>
        <v>2</v>
      </c>
      <c r="C3" s="3">
        <f>B3/SUM(B2:B3)*100</f>
        <v>40</v>
      </c>
    </row>
    <row r="13" spans="1:3">
      <c r="A13" s="1" t="s">
        <v>24</v>
      </c>
      <c r="B13" s="2" t="s">
        <v>25</v>
      </c>
    </row>
    <row r="14" spans="1:3">
      <c r="A14" s="3" t="s">
        <v>26</v>
      </c>
      <c r="B14" s="3">
        <f>COUNTIF(datos!D:D,"Sí")</f>
        <v>4</v>
      </c>
    </row>
    <row r="15" spans="1:3">
      <c r="A15" s="3" t="s">
        <v>27</v>
      </c>
      <c r="B15" s="3">
        <f>COUNTIF(datos!D:D,"No")</f>
        <v>1</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95727-2845-4F81-9D2F-A4789BA4C70B}">
  <dimension ref="A1:B4"/>
  <sheetViews>
    <sheetView tabSelected="1" workbookViewId="0">
      <selection sqref="A1:B4"/>
    </sheetView>
  </sheetViews>
  <sheetFormatPr defaultRowHeight="15"/>
  <sheetData>
    <row r="1" spans="1:2">
      <c r="A1" s="2" t="s">
        <v>28</v>
      </c>
      <c r="B1" s="1" t="s">
        <v>29</v>
      </c>
    </row>
    <row r="2" spans="1:2">
      <c r="A2" s="3" t="s">
        <v>30</v>
      </c>
      <c r="B2" s="3">
        <f>AVERAGE(datos!H2:H6)</f>
        <v>50</v>
      </c>
    </row>
    <row r="3" spans="1:2">
      <c r="A3" s="3" t="s">
        <v>31</v>
      </c>
      <c r="B3" s="3">
        <f>MIN(datos!H2:H6)</f>
        <v>40</v>
      </c>
    </row>
    <row r="4" spans="1:2">
      <c r="A4" s="3" t="s">
        <v>32</v>
      </c>
      <c r="B4" s="3">
        <f>MAX(datos!H2:H6)</f>
        <v>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2026-04-11T22:00:32Z</dcterms:created>
  <dcterms:modified xsi:type="dcterms:W3CDTF">2026-04-11T23:38:20Z</dcterms:modified>
  <cp:category/>
  <cp:contentStatus/>
</cp:coreProperties>
</file>